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brVnQvlbqkkggEMUdr+gfofIHFUKQ7Bxw3S/MSnbFNg="/>
    </ext>
  </extLst>
</workbook>
</file>

<file path=xl/sharedStrings.xml><?xml version="1.0" encoding="utf-8"?>
<sst xmlns="http://schemas.openxmlformats.org/spreadsheetml/2006/main" count="70" uniqueCount="58">
  <si>
    <t>InterArrival Time (Minutes)</t>
  </si>
  <si>
    <t>Probability</t>
  </si>
  <si>
    <t>Cumulative Probability</t>
  </si>
  <si>
    <t>Values</t>
  </si>
  <si>
    <t>Service Time for Able (Minutes)</t>
  </si>
  <si>
    <t xml:space="preserve">Probability </t>
  </si>
  <si>
    <t>0-24</t>
  </si>
  <si>
    <t>0-29</t>
  </si>
  <si>
    <t>25-64</t>
  </si>
  <si>
    <t>30-57</t>
  </si>
  <si>
    <t>65-84</t>
  </si>
  <si>
    <t>58-82</t>
  </si>
  <si>
    <t>85-99</t>
  </si>
  <si>
    <t>83-99</t>
  </si>
  <si>
    <t>Service Time for Baker (Minutes)</t>
  </si>
  <si>
    <t>0-34</t>
  </si>
  <si>
    <t>35-59</t>
  </si>
  <si>
    <t>60-79</t>
  </si>
  <si>
    <t>80-99</t>
  </si>
  <si>
    <t>Start</t>
  </si>
  <si>
    <t>End</t>
  </si>
  <si>
    <t>Service Time for A</t>
  </si>
  <si>
    <t>Service Time for B</t>
  </si>
  <si>
    <t>Customer</t>
  </si>
  <si>
    <t>Random number for Inter arrival time</t>
  </si>
  <si>
    <t>Inter Arrival Time (Minutes)</t>
  </si>
  <si>
    <t>Arrival Time</t>
  </si>
  <si>
    <t>Time when Able is available</t>
  </si>
  <si>
    <t>Time when Baker is Available</t>
  </si>
  <si>
    <t>Server Chosen</t>
  </si>
  <si>
    <t>Random number for service time</t>
  </si>
  <si>
    <t>Service Time (Minutes)</t>
  </si>
  <si>
    <t>Time Service Begins</t>
  </si>
  <si>
    <t>Able's Sevice completion Time</t>
  </si>
  <si>
    <t>Baker's Service Completion time</t>
  </si>
  <si>
    <t>Caller Delay</t>
  </si>
  <si>
    <t>Time in System</t>
  </si>
  <si>
    <t>Server Idle Time</t>
  </si>
  <si>
    <t>-</t>
  </si>
  <si>
    <t>Number of times Able was Chosen:</t>
  </si>
  <si>
    <t>Number of times Baker was Chosen:</t>
  </si>
  <si>
    <t>Experiment Metrics</t>
  </si>
  <si>
    <t>Name</t>
  </si>
  <si>
    <t>Value</t>
  </si>
  <si>
    <t>Average Waiting Time</t>
  </si>
  <si>
    <t>Probability of customers waiting</t>
  </si>
  <si>
    <t>Probability of Idle Server</t>
  </si>
  <si>
    <t>Average Service Time</t>
  </si>
  <si>
    <t>Average Service Time of Able</t>
  </si>
  <si>
    <t>Average Service Time of Baker</t>
  </si>
  <si>
    <t>Average Time between arrival</t>
  </si>
  <si>
    <t>Average waiting time of those who wait</t>
  </si>
  <si>
    <t>Average Time customer spends in system</t>
  </si>
  <si>
    <t>COUNT of Caller Delay</t>
  </si>
  <si>
    <t>Grand Total</t>
  </si>
  <si>
    <t>Post Lab</t>
  </si>
  <si>
    <t>Trial Number</t>
  </si>
  <si>
    <t>Average Caller 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</si>
</sst>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000"/>
  </numFmts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b/>
      <sz val="10.0"/>
      <color theme="1"/>
      <name val="Arial"/>
    </font>
    <font>
      <sz val="10.0"/>
      <color theme="1"/>
      <name val="Inconsolata"/>
    </font>
    <font/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Font="1"/>
    <xf borderId="3" fillId="0" fontId="2" numFmtId="0" xfId="0" applyBorder="1" applyFont="1"/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2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0" fontId="3" numFmtId="2" xfId="0" applyAlignment="1" applyBorder="1" applyFont="1" applyNumberFormat="1">
      <alignment horizontal="center"/>
    </xf>
    <xf borderId="7" fillId="0" fontId="2" numFmtId="0" xfId="0" applyBorder="1" applyFont="1"/>
    <xf borderId="8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shrinkToFit="0" wrapText="1"/>
    </xf>
    <xf borderId="12" fillId="2" fontId="5" numFmtId="0" xfId="0" applyAlignment="1" applyBorder="1" applyFill="1" applyFont="1">
      <alignment horizontal="center" shrinkToFit="0" wrapText="1"/>
    </xf>
    <xf borderId="12" fillId="2" fontId="5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3" fillId="0" fontId="2" numFmtId="1" xfId="0" applyAlignment="1" applyBorder="1" applyFont="1" applyNumberFormat="1">
      <alignment horizontal="center"/>
    </xf>
    <xf borderId="14" fillId="2" fontId="6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14" fillId="2" fontId="6" numFmtId="1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15" fillId="0" fontId="5" numFmtId="0" xfId="0" applyAlignment="1" applyBorder="1" applyFont="1">
      <alignment horizontal="center"/>
    </xf>
    <xf borderId="10" fillId="0" fontId="7" numFmtId="0" xfId="0" applyBorder="1" applyFont="1"/>
    <xf borderId="2" fillId="0" fontId="7" numFmtId="0" xfId="0" applyBorder="1" applyFont="1"/>
    <xf borderId="2" fillId="0" fontId="2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7" fillId="0" fontId="7" numFmtId="0" xfId="0" applyBorder="1" applyFont="1"/>
    <xf borderId="6" fillId="0" fontId="7" numFmtId="0" xfId="0" applyBorder="1" applyFont="1"/>
    <xf borderId="10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3" fillId="0" fontId="7" numFmtId="0" xfId="0" applyBorder="1" applyFont="1"/>
    <xf borderId="3" fillId="0" fontId="2" numFmtId="16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 readingOrder="0"/>
    </xf>
    <xf borderId="3" fillId="0" fontId="2" numFmtId="166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shrinkToFit="0" wrapText="1"/>
    </xf>
    <xf borderId="6" fillId="0" fontId="2" numFmtId="2" xfId="0" applyAlignment="1" applyBorder="1" applyFont="1" applyNumberFormat="1">
      <alignment horizontal="center"/>
    </xf>
    <xf borderId="16" fillId="0" fontId="8" numFmtId="0" xfId="0" applyBorder="1" applyFont="1"/>
    <xf borderId="13" fillId="0" fontId="8" numFmtId="0" xfId="0" applyBorder="1" applyFont="1"/>
    <xf borderId="16" fillId="0" fontId="8" numFmtId="1" xfId="0" applyBorder="1" applyFont="1" applyNumberFormat="1"/>
    <xf borderId="9" fillId="0" fontId="8" numFmtId="1" xfId="0" applyBorder="1" applyFont="1" applyNumberFormat="1"/>
    <xf borderId="4" fillId="0" fontId="8" numFmtId="0" xfId="0" applyBorder="1" applyFont="1"/>
    <xf borderId="0" fillId="0" fontId="9" numFmtId="0" xfId="0" applyFont="1"/>
    <xf borderId="1" fillId="0" fontId="5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COUNT of Caller Delay vs. Caller Delay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COUNT of Caller Delay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1'!$A$2:$A$11</c:f>
            </c:strRef>
          </c:cat>
          <c:val>
            <c:numRef>
              <c:f>'Pivot Table 1'!$B$2:$B$11</c:f>
              <c:numCache/>
            </c:numRef>
          </c:val>
          <c:smooth val="0"/>
        </c:ser>
        <c:axId val="1279009212"/>
        <c:axId val="340491075"/>
      </c:lineChart>
      <c:catAx>
        <c:axId val="1279009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Caller Delay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0491075"/>
      </c:catAx>
      <c:valAx>
        <c:axId val="340491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 of Caller Delay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90092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Caller Delay vs. Trial Number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Average Caller Delay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1'!$A$29:$A$58</c:f>
            </c:strRef>
          </c:cat>
          <c:val>
            <c:numRef>
              <c:f>'Pivot Table 1'!$B$29:$B$58</c:f>
              <c:numCache/>
            </c:numRef>
          </c:val>
          <c:smooth val="0"/>
        </c:ser>
        <c:axId val="2068537728"/>
        <c:axId val="1292810044"/>
      </c:lineChart>
      <c:catAx>
        <c:axId val="206853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2810044"/>
      </c:catAx>
      <c:valAx>
        <c:axId val="1292810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Caller Delay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85377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2</xdr:row>
      <xdr:rowOff>66675</xdr:rowOff>
    </xdr:from>
    <xdr:ext cx="5715000" cy="3533775"/>
    <xdr:graphicFrame>
      <xdr:nvGraphicFramePr>
        <xdr:cNvPr id="15842973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838200</xdr:colOff>
      <xdr:row>32</xdr:row>
      <xdr:rowOff>190500</xdr:rowOff>
    </xdr:from>
    <xdr:ext cx="5715000" cy="3533775"/>
    <xdr:graphicFrame>
      <xdr:nvGraphicFramePr>
        <xdr:cNvPr id="123298130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M21:M36" sheet="Sheet1"/>
  </cacheSource>
  <cacheFields>
    <cacheField name="Caller Delay" numFmtId="1">
      <sharedItems containsSemiMixedTypes="0" containsString="0" containsNumber="1" containsInteger="1">
        <n v="0.0"/>
        <n v="4.0"/>
        <n v="1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Caller Delay" axis="axisRow" dataField="1" compact="0" numFmtId="1" outline="0" multipleItemSelectionAllowed="1" showAll="0" sortType="ascending">
      <items>
        <item x="0"/>
        <item x="2"/>
        <item x="3"/>
        <item x="1"/>
        <item t="default"/>
      </items>
    </pivotField>
  </pivotFields>
  <rowFields>
    <field x="0"/>
  </rowFields>
  <dataFields>
    <dataField name="COUNT of Caller Delay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25"/>
    <col customWidth="1" min="4" max="6" width="12.63"/>
    <col customWidth="1" min="7" max="7" width="18.75"/>
    <col customWidth="1" min="16" max="16" width="20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2" t="s">
        <v>4</v>
      </c>
      <c r="H1" s="2" t="s">
        <v>5</v>
      </c>
      <c r="I1" s="2" t="s">
        <v>2</v>
      </c>
      <c r="J1" s="2" t="s">
        <v>3</v>
      </c>
    </row>
    <row r="2" ht="15.75" customHeight="1">
      <c r="A2" s="5">
        <v>1.0</v>
      </c>
      <c r="B2" s="6">
        <v>0.25</v>
      </c>
      <c r="C2" s="6">
        <f>B2</f>
        <v>0.25</v>
      </c>
      <c r="D2" s="6" t="s">
        <v>6</v>
      </c>
      <c r="E2" s="3"/>
      <c r="F2" s="4"/>
      <c r="G2" s="7">
        <v>2.0</v>
      </c>
      <c r="H2" s="7">
        <v>0.3</v>
      </c>
      <c r="I2" s="8">
        <f>H2</f>
        <v>0.3</v>
      </c>
      <c r="J2" s="6" t="s">
        <v>7</v>
      </c>
    </row>
    <row r="3" ht="15.75" customHeight="1">
      <c r="A3" s="5">
        <v>2.0</v>
      </c>
      <c r="B3" s="6">
        <v>0.4</v>
      </c>
      <c r="C3" s="6">
        <f t="shared" ref="C3:C5" si="1">B3+C2</f>
        <v>0.65</v>
      </c>
      <c r="D3" s="6" t="s">
        <v>8</v>
      </c>
      <c r="E3" s="3"/>
      <c r="F3" s="4"/>
      <c r="G3" s="7">
        <v>3.0</v>
      </c>
      <c r="H3" s="7">
        <v>0.28</v>
      </c>
      <c r="I3" s="8">
        <f t="shared" ref="I3:I5" si="2">H3+I2</f>
        <v>0.58</v>
      </c>
      <c r="J3" s="6" t="s">
        <v>9</v>
      </c>
    </row>
    <row r="4" ht="15.75" customHeight="1">
      <c r="A4" s="5">
        <v>3.0</v>
      </c>
      <c r="B4" s="6">
        <v>0.2</v>
      </c>
      <c r="C4" s="6">
        <f t="shared" si="1"/>
        <v>0.85</v>
      </c>
      <c r="D4" s="6" t="s">
        <v>10</v>
      </c>
      <c r="E4" s="3"/>
      <c r="F4" s="4"/>
      <c r="G4" s="7">
        <v>4.0</v>
      </c>
      <c r="H4" s="7">
        <v>0.25</v>
      </c>
      <c r="I4" s="8">
        <f t="shared" si="2"/>
        <v>0.83</v>
      </c>
      <c r="J4" s="6" t="s">
        <v>11</v>
      </c>
    </row>
    <row r="5" ht="15.75" customHeight="1">
      <c r="A5" s="9">
        <v>4.0</v>
      </c>
      <c r="B5" s="10">
        <v>0.15</v>
      </c>
      <c r="C5" s="10">
        <f t="shared" si="1"/>
        <v>1</v>
      </c>
      <c r="D5" s="10" t="s">
        <v>12</v>
      </c>
      <c r="E5" s="3"/>
      <c r="F5" s="4"/>
      <c r="G5" s="11">
        <v>5.0</v>
      </c>
      <c r="H5" s="11">
        <v>0.17</v>
      </c>
      <c r="I5" s="12">
        <f t="shared" si="2"/>
        <v>1</v>
      </c>
      <c r="J5" s="10" t="s">
        <v>13</v>
      </c>
    </row>
    <row r="6" ht="15.75" customHeight="1">
      <c r="A6" s="13"/>
      <c r="B6" s="13"/>
      <c r="C6" s="13"/>
      <c r="D6" s="13"/>
      <c r="E6" s="3"/>
      <c r="F6" s="3"/>
      <c r="G6" s="3"/>
      <c r="H6" s="3"/>
      <c r="I6" s="3"/>
      <c r="J6" s="3"/>
    </row>
    <row r="7" ht="15.75" customHeight="1">
      <c r="A7" s="14" t="s">
        <v>14</v>
      </c>
      <c r="B7" s="15" t="s">
        <v>5</v>
      </c>
      <c r="C7" s="16" t="s">
        <v>2</v>
      </c>
      <c r="D7" s="16" t="s">
        <v>3</v>
      </c>
      <c r="E7" s="3"/>
      <c r="F7" s="3"/>
      <c r="G7" s="3"/>
      <c r="H7" s="3"/>
      <c r="I7" s="3"/>
      <c r="J7" s="3"/>
    </row>
    <row r="8" ht="15.75" customHeight="1">
      <c r="A8" s="17">
        <v>3.0</v>
      </c>
      <c r="B8" s="18">
        <v>0.35</v>
      </c>
      <c r="C8" s="7">
        <f>B8</f>
        <v>0.35</v>
      </c>
      <c r="D8" s="6" t="s">
        <v>15</v>
      </c>
      <c r="E8" s="3"/>
      <c r="F8" s="3"/>
      <c r="G8" s="3"/>
      <c r="H8" s="3"/>
      <c r="I8" s="3"/>
      <c r="J8" s="3"/>
    </row>
    <row r="9" ht="15.75" customHeight="1">
      <c r="A9" s="17">
        <v>4.0</v>
      </c>
      <c r="B9" s="18">
        <v>0.25</v>
      </c>
      <c r="C9" s="7">
        <f t="shared" ref="C9:C11" si="3">B9+C8</f>
        <v>0.6</v>
      </c>
      <c r="D9" s="6" t="s">
        <v>16</v>
      </c>
      <c r="E9" s="3"/>
      <c r="F9" s="3"/>
      <c r="G9" s="3"/>
      <c r="H9" s="3"/>
      <c r="I9" s="3"/>
      <c r="J9" s="3"/>
    </row>
    <row r="10" ht="15.75" customHeight="1">
      <c r="A10" s="17">
        <v>5.0</v>
      </c>
      <c r="B10" s="18">
        <v>0.2</v>
      </c>
      <c r="C10" s="7">
        <f t="shared" si="3"/>
        <v>0.8</v>
      </c>
      <c r="D10" s="6" t="s">
        <v>17</v>
      </c>
      <c r="E10" s="3"/>
      <c r="F10" s="3"/>
      <c r="G10" s="3"/>
      <c r="H10" s="3"/>
      <c r="I10" s="3"/>
      <c r="J10" s="3"/>
    </row>
    <row r="11" ht="15.75" customHeight="1">
      <c r="A11" s="19">
        <v>6.0</v>
      </c>
      <c r="B11" s="20">
        <v>0.2</v>
      </c>
      <c r="C11" s="11">
        <f t="shared" si="3"/>
        <v>1</v>
      </c>
      <c r="D11" s="10" t="s">
        <v>18</v>
      </c>
      <c r="E11" s="3"/>
      <c r="F11" s="3"/>
      <c r="G11" s="3"/>
      <c r="H11" s="3"/>
      <c r="I11" s="3"/>
      <c r="J11" s="3"/>
    </row>
    <row r="12" ht="15.75" customHeight="1">
      <c r="A12" s="21"/>
      <c r="B12" s="21"/>
      <c r="C12" s="21"/>
      <c r="D12" s="22"/>
      <c r="E12" s="13"/>
      <c r="F12" s="13"/>
      <c r="G12" s="13"/>
      <c r="H12" s="3"/>
      <c r="I12" s="13"/>
      <c r="J12" s="13"/>
      <c r="K12" s="13"/>
      <c r="L12" s="3"/>
      <c r="M12" s="3"/>
      <c r="N12" s="3"/>
      <c r="O12" s="3"/>
    </row>
    <row r="13" ht="15.75" customHeight="1">
      <c r="A13" s="23" t="s">
        <v>19</v>
      </c>
      <c r="B13" s="24" t="s">
        <v>20</v>
      </c>
      <c r="C13" s="16" t="s">
        <v>0</v>
      </c>
      <c r="D13" s="4"/>
      <c r="E13" s="24" t="s">
        <v>19</v>
      </c>
      <c r="F13" s="24" t="s">
        <v>20</v>
      </c>
      <c r="G13" s="16" t="s">
        <v>21</v>
      </c>
      <c r="H13" s="4"/>
      <c r="I13" s="24" t="s">
        <v>19</v>
      </c>
      <c r="J13" s="24" t="s">
        <v>20</v>
      </c>
      <c r="K13" s="16" t="s">
        <v>22</v>
      </c>
      <c r="L13" s="3"/>
      <c r="M13" s="3"/>
      <c r="N13" s="3"/>
      <c r="O13" s="3"/>
    </row>
    <row r="14" ht="15.75" customHeight="1">
      <c r="A14" s="25">
        <v>0.0</v>
      </c>
      <c r="B14" s="6">
        <v>24.0</v>
      </c>
      <c r="C14" s="26">
        <v>1.0</v>
      </c>
      <c r="D14" s="4"/>
      <c r="E14" s="27">
        <v>0.0</v>
      </c>
      <c r="F14" s="6">
        <v>29.0</v>
      </c>
      <c r="G14" s="26">
        <v>2.0</v>
      </c>
      <c r="H14" s="4"/>
      <c r="I14" s="27">
        <v>0.0</v>
      </c>
      <c r="J14" s="6">
        <v>34.0</v>
      </c>
      <c r="K14" s="26">
        <v>3.0</v>
      </c>
      <c r="L14" s="3"/>
      <c r="M14" s="3"/>
      <c r="N14" s="3"/>
      <c r="O14" s="3"/>
    </row>
    <row r="15" ht="15.75" customHeight="1">
      <c r="A15" s="25">
        <v>25.0</v>
      </c>
      <c r="B15" s="6">
        <v>64.0</v>
      </c>
      <c r="C15" s="26">
        <v>2.0</v>
      </c>
      <c r="D15" s="4"/>
      <c r="E15" s="27">
        <v>30.0</v>
      </c>
      <c r="F15" s="6">
        <v>57.0</v>
      </c>
      <c r="G15" s="26">
        <v>3.0</v>
      </c>
      <c r="H15" s="4"/>
      <c r="I15" s="27">
        <v>35.0</v>
      </c>
      <c r="J15" s="6">
        <v>59.0</v>
      </c>
      <c r="K15" s="26">
        <v>4.0</v>
      </c>
      <c r="L15" s="3"/>
      <c r="M15" s="3"/>
      <c r="N15" s="3"/>
      <c r="O15" s="3"/>
    </row>
    <row r="16" ht="15.75" customHeight="1">
      <c r="A16" s="25">
        <v>65.0</v>
      </c>
      <c r="B16" s="6">
        <v>84.0</v>
      </c>
      <c r="C16" s="26">
        <v>3.0</v>
      </c>
      <c r="D16" s="4"/>
      <c r="E16" s="27">
        <v>58.0</v>
      </c>
      <c r="F16" s="6">
        <v>82.0</v>
      </c>
      <c r="G16" s="26">
        <v>4.0</v>
      </c>
      <c r="H16" s="4"/>
      <c r="I16" s="27">
        <v>60.0</v>
      </c>
      <c r="J16" s="6">
        <v>79.0</v>
      </c>
      <c r="K16" s="26">
        <v>5.0</v>
      </c>
      <c r="L16" s="3"/>
      <c r="M16" s="3"/>
      <c r="N16" s="3"/>
      <c r="O16" s="3"/>
    </row>
    <row r="17" ht="15.75" customHeight="1">
      <c r="A17" s="28">
        <v>85.0</v>
      </c>
      <c r="B17" s="10">
        <v>99.0</v>
      </c>
      <c r="C17" s="29">
        <v>4.0</v>
      </c>
      <c r="D17" s="4"/>
      <c r="E17" s="30">
        <v>83.0</v>
      </c>
      <c r="F17" s="10">
        <v>99.0</v>
      </c>
      <c r="G17" s="29">
        <v>5.0</v>
      </c>
      <c r="H17" s="4"/>
      <c r="I17" s="30">
        <v>80.0</v>
      </c>
      <c r="J17" s="10">
        <v>99.0</v>
      </c>
      <c r="K17" s="29">
        <v>6.0</v>
      </c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"/>
      <c r="Q20" s="3"/>
      <c r="R20" s="3"/>
      <c r="S20" s="3"/>
      <c r="T20" s="3"/>
      <c r="U20" s="3"/>
      <c r="V20" s="3"/>
    </row>
    <row r="21" ht="15.75" customHeight="1">
      <c r="A21" s="31" t="s">
        <v>23</v>
      </c>
      <c r="B21" s="32" t="s">
        <v>24</v>
      </c>
      <c r="C21" s="32" t="s">
        <v>25</v>
      </c>
      <c r="D21" s="32" t="s">
        <v>26</v>
      </c>
      <c r="E21" s="33" t="s">
        <v>27</v>
      </c>
      <c r="F21" s="32" t="s">
        <v>28</v>
      </c>
      <c r="G21" s="32" t="s">
        <v>29</v>
      </c>
      <c r="H21" s="32" t="s">
        <v>30</v>
      </c>
      <c r="I21" s="32" t="s">
        <v>31</v>
      </c>
      <c r="J21" s="33" t="s">
        <v>32</v>
      </c>
      <c r="K21" s="32" t="s">
        <v>33</v>
      </c>
      <c r="L21" s="32" t="s">
        <v>34</v>
      </c>
      <c r="M21" s="32" t="s">
        <v>35</v>
      </c>
      <c r="N21" s="32" t="s">
        <v>36</v>
      </c>
      <c r="O21" s="34" t="s">
        <v>37</v>
      </c>
      <c r="P21" s="3"/>
      <c r="Q21" s="3"/>
      <c r="R21" s="3"/>
      <c r="S21" s="3"/>
      <c r="T21" s="3"/>
      <c r="U21" s="3"/>
      <c r="V21" s="3"/>
    </row>
    <row r="22" ht="15.75" customHeight="1">
      <c r="A22" s="5">
        <v>1.0</v>
      </c>
      <c r="B22" s="35" t="s">
        <v>38</v>
      </c>
      <c r="C22" s="6" t="s">
        <v>38</v>
      </c>
      <c r="D22" s="6">
        <v>0.0</v>
      </c>
      <c r="E22" s="6">
        <v>0.0</v>
      </c>
      <c r="F22" s="6">
        <v>0.0</v>
      </c>
      <c r="G22" s="6" t="str">
        <f t="shared" ref="G22:G36" si="5">IF(OR(E22=F22, E22&lt;=D22), "Able", "Baker")</f>
        <v>Able</v>
      </c>
      <c r="H22" s="36">
        <v>95.0</v>
      </c>
      <c r="I22" s="6">
        <f t="shared" ref="I22:I36" si="6">IF(G22="Able",VLOOKUP(H22,$E$13:$G$17,3,TRUE),VLOOKUP(H22,$I$13:$K$17,3,TRUE))</f>
        <v>5</v>
      </c>
      <c r="J22" s="37">
        <f t="shared" ref="J22:J36" si="7">IF(G22="Able", MAX(D22,E22), MAX(D22,F22))</f>
        <v>0</v>
      </c>
      <c r="K22" s="37">
        <f>IF(G22="Able", J22+I22, 0)</f>
        <v>5</v>
      </c>
      <c r="L22" s="6">
        <f>IF(G22="Baker", J22+I22, 0)</f>
        <v>0</v>
      </c>
      <c r="M22" s="37">
        <f t="shared" ref="M22:M36" si="8">J22-D22</f>
        <v>0</v>
      </c>
      <c r="N22" s="37">
        <f t="shared" ref="N22:N36" si="9">I22+M22</f>
        <v>5</v>
      </c>
      <c r="O22" s="38">
        <f t="shared" ref="O22:O36" si="10">IF(IF(G22="Able", D22-E22, D22-F22)&lt;0, 0, IF(G22="Able", D22-E22, D22-F22))</f>
        <v>0</v>
      </c>
      <c r="P22" s="3"/>
      <c r="Q22" s="3"/>
      <c r="R22" s="3"/>
      <c r="S22" s="3"/>
      <c r="T22" s="3"/>
      <c r="U22" s="3"/>
      <c r="V22" s="3"/>
    </row>
    <row r="23" ht="15.75" customHeight="1">
      <c r="A23" s="5">
        <v>2.0</v>
      </c>
      <c r="B23" s="39">
        <v>26.0</v>
      </c>
      <c r="C23" s="6">
        <f t="shared" ref="C23:C36" si="11">VLOOKUP(B23,$A$13:$C$17,3,TRUE)</f>
        <v>2</v>
      </c>
      <c r="D23" s="6">
        <f t="shared" ref="D23:D36" si="12">D22+C23</f>
        <v>2</v>
      </c>
      <c r="E23" s="37">
        <f t="shared" ref="E23:F23" si="4">K22</f>
        <v>5</v>
      </c>
      <c r="F23" s="6">
        <f t="shared" si="4"/>
        <v>0</v>
      </c>
      <c r="G23" s="6" t="str">
        <f t="shared" si="5"/>
        <v>Baker</v>
      </c>
      <c r="H23" s="36">
        <v>21.0</v>
      </c>
      <c r="I23" s="6">
        <f t="shared" si="6"/>
        <v>3</v>
      </c>
      <c r="J23" s="37">
        <f t="shared" si="7"/>
        <v>2</v>
      </c>
      <c r="K23" s="37">
        <f t="shared" ref="K23:K36" si="14">IF(G23="Able", J23+I23, K22)</f>
        <v>5</v>
      </c>
      <c r="L23" s="37">
        <f t="shared" ref="L23:L36" si="15">IF(G23="Baker", J23+I23, L22)</f>
        <v>5</v>
      </c>
      <c r="M23" s="37">
        <f t="shared" si="8"/>
        <v>0</v>
      </c>
      <c r="N23" s="37">
        <f t="shared" si="9"/>
        <v>3</v>
      </c>
      <c r="O23" s="38">
        <f t="shared" si="10"/>
        <v>2</v>
      </c>
      <c r="P23" s="3"/>
      <c r="Q23" s="3"/>
      <c r="R23" s="3"/>
      <c r="S23" s="3"/>
      <c r="T23" s="3"/>
      <c r="U23" s="3"/>
      <c r="V23" s="3"/>
    </row>
    <row r="24" ht="15.75" customHeight="1">
      <c r="A24" s="5">
        <v>3.0</v>
      </c>
      <c r="B24" s="39">
        <v>98.0</v>
      </c>
      <c r="C24" s="6">
        <f t="shared" si="11"/>
        <v>4</v>
      </c>
      <c r="D24" s="6">
        <f t="shared" si="12"/>
        <v>6</v>
      </c>
      <c r="E24" s="37">
        <f t="shared" ref="E24:F24" si="13">K23</f>
        <v>5</v>
      </c>
      <c r="F24" s="37">
        <f t="shared" si="13"/>
        <v>5</v>
      </c>
      <c r="G24" s="6" t="str">
        <f t="shared" si="5"/>
        <v>Able</v>
      </c>
      <c r="H24" s="36">
        <v>51.0</v>
      </c>
      <c r="I24" s="6">
        <f t="shared" si="6"/>
        <v>3</v>
      </c>
      <c r="J24" s="37">
        <f t="shared" si="7"/>
        <v>6</v>
      </c>
      <c r="K24" s="37">
        <f t="shared" si="14"/>
        <v>9</v>
      </c>
      <c r="L24" s="37">
        <f t="shared" si="15"/>
        <v>5</v>
      </c>
      <c r="M24" s="37">
        <f t="shared" si="8"/>
        <v>0</v>
      </c>
      <c r="N24" s="37">
        <f t="shared" si="9"/>
        <v>3</v>
      </c>
      <c r="O24" s="40">
        <f t="shared" si="10"/>
        <v>1</v>
      </c>
      <c r="P24" s="3"/>
      <c r="Q24" s="3"/>
      <c r="R24" s="3"/>
      <c r="S24" s="3"/>
      <c r="T24" s="3"/>
      <c r="U24" s="3"/>
      <c r="V24" s="3"/>
    </row>
    <row r="25" ht="15.75" customHeight="1">
      <c r="A25" s="5">
        <v>4.0</v>
      </c>
      <c r="B25" s="39">
        <v>90.0</v>
      </c>
      <c r="C25" s="6">
        <f t="shared" si="11"/>
        <v>4</v>
      </c>
      <c r="D25" s="6">
        <f t="shared" si="12"/>
        <v>10</v>
      </c>
      <c r="E25" s="37">
        <f t="shared" ref="E25:F25" si="16">K24</f>
        <v>9</v>
      </c>
      <c r="F25" s="37">
        <f t="shared" si="16"/>
        <v>5</v>
      </c>
      <c r="G25" s="6" t="str">
        <f t="shared" si="5"/>
        <v>Able</v>
      </c>
      <c r="H25" s="36">
        <v>92.0</v>
      </c>
      <c r="I25" s="6">
        <f t="shared" si="6"/>
        <v>5</v>
      </c>
      <c r="J25" s="37">
        <f t="shared" si="7"/>
        <v>10</v>
      </c>
      <c r="K25" s="37">
        <f t="shared" si="14"/>
        <v>15</v>
      </c>
      <c r="L25" s="37">
        <f t="shared" si="15"/>
        <v>5</v>
      </c>
      <c r="M25" s="37">
        <f t="shared" si="8"/>
        <v>0</v>
      </c>
      <c r="N25" s="37">
        <f t="shared" si="9"/>
        <v>5</v>
      </c>
      <c r="O25" s="40">
        <f t="shared" si="10"/>
        <v>1</v>
      </c>
      <c r="P25" s="3"/>
      <c r="Q25" s="3"/>
      <c r="R25" s="3"/>
      <c r="S25" s="3"/>
      <c r="T25" s="3"/>
      <c r="U25" s="3"/>
      <c r="V25" s="3"/>
    </row>
    <row r="26" ht="15.75" customHeight="1">
      <c r="A26" s="5">
        <v>5.0</v>
      </c>
      <c r="B26" s="39">
        <v>26.0</v>
      </c>
      <c r="C26" s="6">
        <f t="shared" si="11"/>
        <v>2</v>
      </c>
      <c r="D26" s="6">
        <f t="shared" si="12"/>
        <v>12</v>
      </c>
      <c r="E26" s="37">
        <f t="shared" ref="E26:F26" si="17">K25</f>
        <v>15</v>
      </c>
      <c r="F26" s="37">
        <f t="shared" si="17"/>
        <v>5</v>
      </c>
      <c r="G26" s="6" t="str">
        <f t="shared" si="5"/>
        <v>Baker</v>
      </c>
      <c r="H26" s="36">
        <v>89.0</v>
      </c>
      <c r="I26" s="6">
        <f t="shared" si="6"/>
        <v>6</v>
      </c>
      <c r="J26" s="37">
        <f t="shared" si="7"/>
        <v>12</v>
      </c>
      <c r="K26" s="37">
        <f t="shared" si="14"/>
        <v>15</v>
      </c>
      <c r="L26" s="37">
        <f t="shared" si="15"/>
        <v>18</v>
      </c>
      <c r="M26" s="37">
        <f t="shared" si="8"/>
        <v>0</v>
      </c>
      <c r="N26" s="37">
        <f t="shared" si="9"/>
        <v>6</v>
      </c>
      <c r="O26" s="40">
        <f t="shared" si="10"/>
        <v>7</v>
      </c>
      <c r="P26" s="3"/>
      <c r="Q26" s="3"/>
      <c r="R26" s="3"/>
      <c r="S26" s="3"/>
      <c r="T26" s="3"/>
      <c r="U26" s="3"/>
      <c r="V26" s="3"/>
    </row>
    <row r="27" ht="15.75" customHeight="1">
      <c r="A27" s="5">
        <v>6.0</v>
      </c>
      <c r="B27" s="39">
        <v>42.0</v>
      </c>
      <c r="C27" s="6">
        <f t="shared" si="11"/>
        <v>2</v>
      </c>
      <c r="D27" s="6">
        <f t="shared" si="12"/>
        <v>14</v>
      </c>
      <c r="E27" s="37">
        <f t="shared" ref="E27:F27" si="18">K26</f>
        <v>15</v>
      </c>
      <c r="F27" s="37">
        <f t="shared" si="18"/>
        <v>18</v>
      </c>
      <c r="G27" s="6" t="str">
        <f t="shared" si="5"/>
        <v>Baker</v>
      </c>
      <c r="H27" s="36">
        <v>38.0</v>
      </c>
      <c r="I27" s="6">
        <f t="shared" si="6"/>
        <v>4</v>
      </c>
      <c r="J27" s="37">
        <f t="shared" si="7"/>
        <v>18</v>
      </c>
      <c r="K27" s="37">
        <f t="shared" si="14"/>
        <v>15</v>
      </c>
      <c r="L27" s="37">
        <f t="shared" si="15"/>
        <v>22</v>
      </c>
      <c r="M27" s="37">
        <f t="shared" si="8"/>
        <v>4</v>
      </c>
      <c r="N27" s="37">
        <f t="shared" si="9"/>
        <v>8</v>
      </c>
      <c r="O27" s="40">
        <f t="shared" si="10"/>
        <v>0</v>
      </c>
      <c r="P27" s="3"/>
      <c r="Q27" s="3"/>
      <c r="R27" s="3"/>
      <c r="S27" s="3"/>
      <c r="T27" s="3"/>
      <c r="U27" s="3"/>
      <c r="V27" s="3"/>
    </row>
    <row r="28" ht="15.75" customHeight="1">
      <c r="A28" s="5">
        <v>7.0</v>
      </c>
      <c r="B28" s="39">
        <v>74.0</v>
      </c>
      <c r="C28" s="6">
        <f t="shared" si="11"/>
        <v>3</v>
      </c>
      <c r="D28" s="6">
        <f t="shared" si="12"/>
        <v>17</v>
      </c>
      <c r="E28" s="37">
        <f t="shared" ref="E28:F28" si="19">K27</f>
        <v>15</v>
      </c>
      <c r="F28" s="37">
        <f t="shared" si="19"/>
        <v>22</v>
      </c>
      <c r="G28" s="6" t="str">
        <f t="shared" si="5"/>
        <v>Able</v>
      </c>
      <c r="H28" s="36">
        <v>13.0</v>
      </c>
      <c r="I28" s="6">
        <f t="shared" si="6"/>
        <v>2</v>
      </c>
      <c r="J28" s="37">
        <f t="shared" si="7"/>
        <v>17</v>
      </c>
      <c r="K28" s="37">
        <f t="shared" si="14"/>
        <v>19</v>
      </c>
      <c r="L28" s="37">
        <f t="shared" si="15"/>
        <v>22</v>
      </c>
      <c r="M28" s="37">
        <f t="shared" si="8"/>
        <v>0</v>
      </c>
      <c r="N28" s="37">
        <f t="shared" si="9"/>
        <v>2</v>
      </c>
      <c r="O28" s="40">
        <f t="shared" si="10"/>
        <v>2</v>
      </c>
      <c r="P28" s="3"/>
      <c r="Q28" s="3"/>
      <c r="R28" s="3"/>
      <c r="S28" s="3"/>
      <c r="T28" s="3"/>
      <c r="U28" s="3"/>
      <c r="V28" s="3"/>
    </row>
    <row r="29" ht="15.75" customHeight="1">
      <c r="A29" s="5">
        <v>8.0</v>
      </c>
      <c r="B29" s="39">
        <v>80.0</v>
      </c>
      <c r="C29" s="6">
        <f t="shared" si="11"/>
        <v>3</v>
      </c>
      <c r="D29" s="6">
        <f t="shared" si="12"/>
        <v>20</v>
      </c>
      <c r="E29" s="37">
        <f t="shared" ref="E29:F29" si="20">K28</f>
        <v>19</v>
      </c>
      <c r="F29" s="37">
        <f t="shared" si="20"/>
        <v>22</v>
      </c>
      <c r="G29" s="6" t="str">
        <f t="shared" si="5"/>
        <v>Able</v>
      </c>
      <c r="H29" s="36">
        <v>61.0</v>
      </c>
      <c r="I29" s="6">
        <f t="shared" si="6"/>
        <v>4</v>
      </c>
      <c r="J29" s="37">
        <f t="shared" si="7"/>
        <v>20</v>
      </c>
      <c r="K29" s="37">
        <f t="shared" si="14"/>
        <v>24</v>
      </c>
      <c r="L29" s="37">
        <f t="shared" si="15"/>
        <v>22</v>
      </c>
      <c r="M29" s="37">
        <f t="shared" si="8"/>
        <v>0</v>
      </c>
      <c r="N29" s="37">
        <f t="shared" si="9"/>
        <v>4</v>
      </c>
      <c r="O29" s="40">
        <f t="shared" si="10"/>
        <v>1</v>
      </c>
      <c r="P29" s="3"/>
      <c r="Q29" s="3"/>
      <c r="R29" s="3"/>
      <c r="S29" s="3"/>
      <c r="T29" s="3"/>
      <c r="U29" s="3"/>
      <c r="V29" s="3"/>
    </row>
    <row r="30" ht="15.75" customHeight="1">
      <c r="A30" s="5">
        <v>9.0</v>
      </c>
      <c r="B30" s="39">
        <v>68.0</v>
      </c>
      <c r="C30" s="6">
        <f t="shared" si="11"/>
        <v>3</v>
      </c>
      <c r="D30" s="6">
        <f t="shared" si="12"/>
        <v>23</v>
      </c>
      <c r="E30" s="37">
        <f t="shared" ref="E30:F30" si="21">K29</f>
        <v>24</v>
      </c>
      <c r="F30" s="37">
        <f t="shared" si="21"/>
        <v>22</v>
      </c>
      <c r="G30" s="6" t="str">
        <f t="shared" si="5"/>
        <v>Baker</v>
      </c>
      <c r="H30" s="36">
        <v>50.0</v>
      </c>
      <c r="I30" s="6">
        <f t="shared" si="6"/>
        <v>4</v>
      </c>
      <c r="J30" s="37">
        <f t="shared" si="7"/>
        <v>23</v>
      </c>
      <c r="K30" s="37">
        <f t="shared" si="14"/>
        <v>24</v>
      </c>
      <c r="L30" s="37">
        <f t="shared" si="15"/>
        <v>27</v>
      </c>
      <c r="M30" s="37">
        <f t="shared" si="8"/>
        <v>0</v>
      </c>
      <c r="N30" s="37">
        <f t="shared" si="9"/>
        <v>4</v>
      </c>
      <c r="O30" s="40">
        <f t="shared" si="10"/>
        <v>1</v>
      </c>
      <c r="P30" s="3"/>
      <c r="Q30" s="3"/>
      <c r="R30" s="3"/>
      <c r="S30" s="3"/>
      <c r="T30" s="3"/>
      <c r="U30" s="3"/>
      <c r="V30" s="3"/>
    </row>
    <row r="31" ht="15.75" customHeight="1">
      <c r="A31" s="5">
        <v>10.0</v>
      </c>
      <c r="B31" s="39">
        <v>22.0</v>
      </c>
      <c r="C31" s="6">
        <f t="shared" si="11"/>
        <v>1</v>
      </c>
      <c r="D31" s="6">
        <f t="shared" si="12"/>
        <v>24</v>
      </c>
      <c r="E31" s="37">
        <f t="shared" ref="E31:F31" si="22">K30</f>
        <v>24</v>
      </c>
      <c r="F31" s="37">
        <f t="shared" si="22"/>
        <v>27</v>
      </c>
      <c r="G31" s="6" t="str">
        <f t="shared" si="5"/>
        <v>Able</v>
      </c>
      <c r="H31" s="36">
        <v>49.0</v>
      </c>
      <c r="I31" s="6">
        <f t="shared" si="6"/>
        <v>3</v>
      </c>
      <c r="J31" s="37">
        <f t="shared" si="7"/>
        <v>24</v>
      </c>
      <c r="K31" s="37">
        <f t="shared" si="14"/>
        <v>27</v>
      </c>
      <c r="L31" s="37">
        <f t="shared" si="15"/>
        <v>27</v>
      </c>
      <c r="M31" s="37">
        <f t="shared" si="8"/>
        <v>0</v>
      </c>
      <c r="N31" s="37">
        <f t="shared" si="9"/>
        <v>3</v>
      </c>
      <c r="O31" s="40">
        <f t="shared" si="10"/>
        <v>0</v>
      </c>
      <c r="P31" s="3"/>
      <c r="Q31" s="3"/>
      <c r="R31" s="3"/>
      <c r="S31" s="3"/>
      <c r="T31" s="3"/>
      <c r="U31" s="3"/>
      <c r="V31" s="3"/>
    </row>
    <row r="32" ht="15.75" customHeight="1">
      <c r="A32" s="5">
        <v>11.0</v>
      </c>
      <c r="B32" s="39">
        <v>48.0</v>
      </c>
      <c r="C32" s="6">
        <f t="shared" si="11"/>
        <v>2</v>
      </c>
      <c r="D32" s="6">
        <f t="shared" si="12"/>
        <v>26</v>
      </c>
      <c r="E32" s="37">
        <f t="shared" ref="E32:F32" si="23">K31</f>
        <v>27</v>
      </c>
      <c r="F32" s="37">
        <f t="shared" si="23"/>
        <v>27</v>
      </c>
      <c r="G32" s="6" t="str">
        <f t="shared" si="5"/>
        <v>Able</v>
      </c>
      <c r="H32" s="36">
        <v>39.0</v>
      </c>
      <c r="I32" s="6">
        <f t="shared" si="6"/>
        <v>3</v>
      </c>
      <c r="J32" s="37">
        <f t="shared" si="7"/>
        <v>27</v>
      </c>
      <c r="K32" s="37">
        <f t="shared" si="14"/>
        <v>30</v>
      </c>
      <c r="L32" s="37">
        <f t="shared" si="15"/>
        <v>27</v>
      </c>
      <c r="M32" s="37">
        <f t="shared" si="8"/>
        <v>1</v>
      </c>
      <c r="N32" s="37">
        <f t="shared" si="9"/>
        <v>4</v>
      </c>
      <c r="O32" s="40">
        <f t="shared" si="10"/>
        <v>0</v>
      </c>
      <c r="P32" s="3"/>
      <c r="Q32" s="3"/>
      <c r="R32" s="3"/>
      <c r="S32" s="3"/>
      <c r="T32" s="3"/>
      <c r="U32" s="3"/>
      <c r="V32" s="3"/>
    </row>
    <row r="33" ht="15.75" customHeight="1">
      <c r="A33" s="5">
        <v>12.0</v>
      </c>
      <c r="B33" s="39">
        <v>34.0</v>
      </c>
      <c r="C33" s="6">
        <f t="shared" si="11"/>
        <v>2</v>
      </c>
      <c r="D33" s="6">
        <f t="shared" si="12"/>
        <v>28</v>
      </c>
      <c r="E33" s="37">
        <f t="shared" ref="E33:F33" si="24">K32</f>
        <v>30</v>
      </c>
      <c r="F33" s="37">
        <f t="shared" si="24"/>
        <v>27</v>
      </c>
      <c r="G33" s="6" t="str">
        <f t="shared" si="5"/>
        <v>Baker</v>
      </c>
      <c r="H33" s="36">
        <v>53.0</v>
      </c>
      <c r="I33" s="6">
        <f t="shared" si="6"/>
        <v>4</v>
      </c>
      <c r="J33" s="37">
        <f t="shared" si="7"/>
        <v>28</v>
      </c>
      <c r="K33" s="37">
        <f t="shared" si="14"/>
        <v>30</v>
      </c>
      <c r="L33" s="37">
        <f t="shared" si="15"/>
        <v>32</v>
      </c>
      <c r="M33" s="37">
        <f t="shared" si="8"/>
        <v>0</v>
      </c>
      <c r="N33" s="37">
        <f t="shared" si="9"/>
        <v>4</v>
      </c>
      <c r="O33" s="40">
        <f t="shared" si="10"/>
        <v>1</v>
      </c>
      <c r="P33" s="3"/>
      <c r="Q33" s="3"/>
      <c r="R33" s="3"/>
      <c r="S33" s="3"/>
      <c r="T33" s="3"/>
      <c r="U33" s="3"/>
      <c r="V33" s="3"/>
    </row>
    <row r="34" ht="15.75" customHeight="1">
      <c r="A34" s="5">
        <v>13.0</v>
      </c>
      <c r="B34" s="39">
        <v>45.0</v>
      </c>
      <c r="C34" s="6">
        <f t="shared" si="11"/>
        <v>2</v>
      </c>
      <c r="D34" s="6">
        <f t="shared" si="12"/>
        <v>30</v>
      </c>
      <c r="E34" s="37">
        <f t="shared" ref="E34:F34" si="25">K33</f>
        <v>30</v>
      </c>
      <c r="F34" s="37">
        <f t="shared" si="25"/>
        <v>32</v>
      </c>
      <c r="G34" s="6" t="str">
        <f t="shared" si="5"/>
        <v>Able</v>
      </c>
      <c r="H34" s="36">
        <v>88.0</v>
      </c>
      <c r="I34" s="6">
        <f t="shared" si="6"/>
        <v>5</v>
      </c>
      <c r="J34" s="37">
        <f t="shared" si="7"/>
        <v>30</v>
      </c>
      <c r="K34" s="37">
        <f t="shared" si="14"/>
        <v>35</v>
      </c>
      <c r="L34" s="37">
        <f t="shared" si="15"/>
        <v>32</v>
      </c>
      <c r="M34" s="37">
        <f t="shared" si="8"/>
        <v>0</v>
      </c>
      <c r="N34" s="37">
        <f t="shared" si="9"/>
        <v>5</v>
      </c>
      <c r="O34" s="40">
        <f t="shared" si="10"/>
        <v>0</v>
      </c>
      <c r="P34" s="3"/>
      <c r="Q34" s="3"/>
      <c r="R34" s="3"/>
      <c r="S34" s="3"/>
      <c r="T34" s="3"/>
      <c r="U34" s="3"/>
      <c r="V34" s="3"/>
    </row>
    <row r="35" ht="15.75" customHeight="1">
      <c r="A35" s="5">
        <v>14.0</v>
      </c>
      <c r="B35" s="39">
        <v>24.0</v>
      </c>
      <c r="C35" s="6">
        <f t="shared" si="11"/>
        <v>1</v>
      </c>
      <c r="D35" s="6">
        <f t="shared" si="12"/>
        <v>31</v>
      </c>
      <c r="E35" s="37">
        <f t="shared" ref="E35:F35" si="26">K34</f>
        <v>35</v>
      </c>
      <c r="F35" s="37">
        <f t="shared" si="26"/>
        <v>32</v>
      </c>
      <c r="G35" s="6" t="str">
        <f t="shared" si="5"/>
        <v>Baker</v>
      </c>
      <c r="H35" s="36">
        <v>1.0</v>
      </c>
      <c r="I35" s="6">
        <f t="shared" si="6"/>
        <v>3</v>
      </c>
      <c r="J35" s="37">
        <f t="shared" si="7"/>
        <v>32</v>
      </c>
      <c r="K35" s="37">
        <f t="shared" si="14"/>
        <v>35</v>
      </c>
      <c r="L35" s="37">
        <f t="shared" si="15"/>
        <v>35</v>
      </c>
      <c r="M35" s="37">
        <f t="shared" si="8"/>
        <v>1</v>
      </c>
      <c r="N35" s="37">
        <f t="shared" si="9"/>
        <v>4</v>
      </c>
      <c r="O35" s="40">
        <f t="shared" si="10"/>
        <v>0</v>
      </c>
      <c r="P35" s="3"/>
      <c r="Q35" s="3"/>
      <c r="R35" s="3"/>
      <c r="S35" s="3"/>
      <c r="T35" s="3"/>
      <c r="U35" s="3"/>
      <c r="V35" s="3"/>
    </row>
    <row r="36" ht="15.75" customHeight="1">
      <c r="A36" s="5">
        <v>15.0</v>
      </c>
      <c r="B36" s="39">
        <v>34.0</v>
      </c>
      <c r="C36" s="6">
        <f t="shared" si="11"/>
        <v>2</v>
      </c>
      <c r="D36" s="6">
        <f t="shared" si="12"/>
        <v>33</v>
      </c>
      <c r="E36" s="37">
        <f t="shared" ref="E36:F36" si="27">K35</f>
        <v>35</v>
      </c>
      <c r="F36" s="37">
        <f t="shared" si="27"/>
        <v>35</v>
      </c>
      <c r="G36" s="6" t="str">
        <f t="shared" si="5"/>
        <v>Able</v>
      </c>
      <c r="H36" s="36">
        <v>81.0</v>
      </c>
      <c r="I36" s="6">
        <f t="shared" si="6"/>
        <v>4</v>
      </c>
      <c r="J36" s="37">
        <f t="shared" si="7"/>
        <v>35</v>
      </c>
      <c r="K36" s="37">
        <f t="shared" si="14"/>
        <v>39</v>
      </c>
      <c r="L36" s="37">
        <f t="shared" si="15"/>
        <v>35</v>
      </c>
      <c r="M36" s="37">
        <f t="shared" si="8"/>
        <v>2</v>
      </c>
      <c r="N36" s="37">
        <f t="shared" si="9"/>
        <v>6</v>
      </c>
      <c r="O36" s="40">
        <f t="shared" si="10"/>
        <v>0</v>
      </c>
      <c r="P36" s="3"/>
      <c r="Q36" s="3"/>
      <c r="R36" s="3"/>
      <c r="S36" s="3"/>
      <c r="T36" s="3"/>
      <c r="U36" s="3"/>
      <c r="V36" s="3"/>
    </row>
    <row r="37" ht="15.75" customHeight="1">
      <c r="A37" s="3"/>
      <c r="B37" s="4"/>
      <c r="C37" s="10">
        <f>AVERAGE(C22:C36)</f>
        <v>2.357142857</v>
      </c>
      <c r="D37" s="3"/>
      <c r="E37" s="3"/>
      <c r="F37" s="3"/>
      <c r="G37" s="3"/>
      <c r="H37" s="4"/>
      <c r="I37" s="10">
        <f>AVERAGE(I22:I36)</f>
        <v>3.866666667</v>
      </c>
      <c r="J37" s="3"/>
      <c r="K37" s="3"/>
      <c r="L37" s="4"/>
      <c r="M37" s="41">
        <f>AVERAGE(M22:M36)</f>
        <v>0.5333333333</v>
      </c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42" t="s">
        <v>39</v>
      </c>
      <c r="B39" s="43"/>
      <c r="C39" s="44"/>
      <c r="D39" s="45">
        <f>COUNTIF(G22:G36, "=Able")</f>
        <v>9</v>
      </c>
      <c r="E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46" t="s">
        <v>40</v>
      </c>
      <c r="B40" s="47"/>
      <c r="C40" s="48"/>
      <c r="D40" s="10">
        <f>COUNTIF(G22:G36, "=Baker")</f>
        <v>6</v>
      </c>
      <c r="P40" s="3"/>
      <c r="Q40" s="3"/>
      <c r="R40" s="3"/>
      <c r="S40" s="3"/>
      <c r="T40" s="3"/>
      <c r="U40" s="3"/>
      <c r="V40" s="3"/>
    </row>
    <row r="41" ht="15.75" customHeight="1">
      <c r="A41" s="3"/>
      <c r="B41" s="13"/>
      <c r="C41" s="13"/>
      <c r="D41" s="13"/>
      <c r="P41" s="3"/>
      <c r="Q41" s="3"/>
      <c r="R41" s="3"/>
      <c r="S41" s="3"/>
      <c r="T41" s="3"/>
      <c r="U41" s="3"/>
      <c r="V41" s="3"/>
    </row>
    <row r="42" ht="15.75" customHeight="1">
      <c r="A42" s="49" t="s">
        <v>41</v>
      </c>
      <c r="B42" s="43"/>
      <c r="C42" s="43"/>
      <c r="D42" s="44"/>
      <c r="Q42" s="3"/>
      <c r="R42" s="3"/>
      <c r="S42" s="3"/>
      <c r="T42" s="3"/>
      <c r="U42" s="3"/>
      <c r="V42" s="3"/>
    </row>
    <row r="43" ht="15.75" customHeight="1">
      <c r="A43" s="46" t="s">
        <v>42</v>
      </c>
      <c r="B43" s="47"/>
      <c r="C43" s="48"/>
      <c r="D43" s="29" t="s">
        <v>43</v>
      </c>
      <c r="Q43" s="3"/>
      <c r="R43" s="3"/>
      <c r="S43" s="3"/>
      <c r="T43" s="3"/>
      <c r="U43" s="3"/>
      <c r="V43" s="3"/>
    </row>
    <row r="44" ht="15.75" customHeight="1">
      <c r="A44" s="50" t="s">
        <v>44</v>
      </c>
      <c r="C44" s="51"/>
      <c r="D44" s="52">
        <f>M37</f>
        <v>0.5333333333</v>
      </c>
      <c r="Q44" s="3"/>
      <c r="R44" s="3"/>
      <c r="S44" s="3"/>
      <c r="T44" s="3"/>
      <c r="U44" s="3"/>
      <c r="V44" s="3"/>
    </row>
    <row r="45" ht="15.75" customHeight="1">
      <c r="A45" s="50" t="s">
        <v>45</v>
      </c>
      <c r="C45" s="51"/>
      <c r="D45" s="6">
        <f>COUNTIF(M22:M36, "&lt;&gt;0")/100</f>
        <v>0.04</v>
      </c>
      <c r="Q45" s="3"/>
      <c r="R45" s="3"/>
      <c r="S45" s="3"/>
      <c r="T45" s="3"/>
      <c r="U45" s="3"/>
      <c r="V45" s="3"/>
    </row>
    <row r="46" ht="15.75" customHeight="1">
      <c r="A46" s="50" t="s">
        <v>46</v>
      </c>
      <c r="C46" s="51"/>
      <c r="D46" s="53">
        <v>0.84</v>
      </c>
      <c r="Q46" s="3"/>
      <c r="R46" s="3"/>
      <c r="S46" s="3"/>
      <c r="T46" s="3"/>
      <c r="U46" s="3"/>
      <c r="V46" s="3"/>
    </row>
    <row r="47" ht="15.75" customHeight="1">
      <c r="A47" s="50" t="s">
        <v>47</v>
      </c>
      <c r="C47" s="51"/>
      <c r="D47" s="6">
        <f>I37</f>
        <v>3.866666667</v>
      </c>
      <c r="Q47" s="3"/>
      <c r="R47" s="3"/>
      <c r="S47" s="3"/>
      <c r="T47" s="3"/>
      <c r="U47" s="3"/>
      <c r="V47" s="3"/>
    </row>
    <row r="48" ht="15.75" customHeight="1">
      <c r="A48" s="50" t="s">
        <v>48</v>
      </c>
      <c r="C48" s="51"/>
      <c r="D48" s="54">
        <f>AVERAGEIF(G22:G36, "=Able", I22:I36)</f>
        <v>3.777777778</v>
      </c>
      <c r="Q48" s="3"/>
      <c r="R48" s="3"/>
      <c r="S48" s="3"/>
      <c r="T48" s="3"/>
      <c r="U48" s="3"/>
      <c r="V48" s="3"/>
    </row>
    <row r="49" ht="15.75" customHeight="1">
      <c r="A49" s="50" t="s">
        <v>49</v>
      </c>
      <c r="C49" s="51"/>
      <c r="D49" s="54">
        <f>AVERAGEIF(G23:G37, "=Baker", I23:I37)</f>
        <v>4</v>
      </c>
      <c r="Q49" s="3"/>
      <c r="R49" s="3"/>
      <c r="S49" s="3"/>
      <c r="T49" s="3"/>
      <c r="U49" s="3"/>
      <c r="V49" s="3"/>
    </row>
    <row r="50" ht="15.75" customHeight="1">
      <c r="A50" s="50" t="s">
        <v>50</v>
      </c>
      <c r="C50" s="51"/>
      <c r="D50" s="6">
        <f>C37</f>
        <v>2.357142857</v>
      </c>
      <c r="Q50" s="3"/>
      <c r="R50" s="3"/>
      <c r="S50" s="3"/>
      <c r="T50" s="3"/>
      <c r="U50" s="3"/>
      <c r="V50" s="3"/>
    </row>
    <row r="51" ht="15.75" customHeight="1">
      <c r="A51" s="55" t="s">
        <v>51</v>
      </c>
      <c r="C51" s="51"/>
      <c r="D51" s="54">
        <f>AVERAGEIF(M22:M36, "&lt;&gt;0")</f>
        <v>2</v>
      </c>
      <c r="Q51" s="3"/>
      <c r="R51" s="3"/>
      <c r="S51" s="3"/>
      <c r="T51" s="3"/>
      <c r="U51" s="3"/>
      <c r="V51" s="3"/>
    </row>
    <row r="52" ht="15.75" customHeight="1">
      <c r="A52" s="56" t="s">
        <v>52</v>
      </c>
      <c r="B52" s="47"/>
      <c r="C52" s="48"/>
      <c r="D52" s="57">
        <f>AVERAGE(N22:N36)</f>
        <v>4.4</v>
      </c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mergeCells count="13">
    <mergeCell ref="A47:C47"/>
    <mergeCell ref="A48:C48"/>
    <mergeCell ref="A49:C49"/>
    <mergeCell ref="A50:C50"/>
    <mergeCell ref="A51:C51"/>
    <mergeCell ref="A52:C52"/>
    <mergeCell ref="A39:C39"/>
    <mergeCell ref="A40:C40"/>
    <mergeCell ref="A42:D42"/>
    <mergeCell ref="A43:C43"/>
    <mergeCell ref="A44:C44"/>
    <mergeCell ref="A45:C45"/>
    <mergeCell ref="A46:C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9.63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61"/>
      <c r="B7" s="62"/>
    </row>
    <row r="8" ht="15.75" customHeight="1">
      <c r="A8" s="61"/>
      <c r="B8" s="62"/>
    </row>
    <row r="9" ht="15.75" customHeight="1">
      <c r="A9" s="61"/>
      <c r="B9" s="62"/>
    </row>
    <row r="10" ht="15.75" customHeight="1">
      <c r="A10" s="61"/>
      <c r="B10" s="62"/>
    </row>
    <row r="11" ht="15.75" customHeight="1">
      <c r="A11" s="61"/>
      <c r="B11" s="62"/>
    </row>
    <row r="12" ht="15.75" customHeight="1">
      <c r="A12" s="61"/>
      <c r="B12" s="62"/>
    </row>
    <row r="13" ht="15.75" customHeight="1">
      <c r="A13" s="61"/>
      <c r="B13" s="62"/>
    </row>
    <row r="14" ht="15.75" customHeight="1">
      <c r="A14" s="61"/>
      <c r="B14" s="62"/>
    </row>
    <row r="15" ht="15.75" customHeight="1">
      <c r="A15" s="61"/>
      <c r="B15" s="6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3"/>
      <c r="E26" s="3"/>
      <c r="F26" s="3"/>
      <c r="G26" s="3"/>
      <c r="H26" s="3"/>
      <c r="I26" s="3"/>
      <c r="J26" s="3"/>
      <c r="K26" s="3"/>
    </row>
    <row r="27" ht="15.75" customHeight="1">
      <c r="A27" s="42" t="s">
        <v>55</v>
      </c>
      <c r="B27" s="44"/>
      <c r="C27" s="3"/>
      <c r="D27" s="3"/>
      <c r="E27" s="3"/>
      <c r="F27" s="3"/>
      <c r="G27" s="3"/>
      <c r="H27" s="3"/>
      <c r="I27" s="3"/>
      <c r="J27" s="3"/>
      <c r="K27" s="3"/>
    </row>
    <row r="28" ht="15.75" customHeight="1">
      <c r="A28" s="64" t="s">
        <v>56</v>
      </c>
      <c r="B28" s="64" t="s">
        <v>57</v>
      </c>
      <c r="D28" s="3"/>
      <c r="E28" s="3"/>
      <c r="F28" s="3"/>
      <c r="G28" s="3"/>
      <c r="H28" s="3"/>
      <c r="I28" s="3"/>
      <c r="J28" s="3"/>
    </row>
    <row r="29" ht="15.75" customHeight="1">
      <c r="A29" s="65">
        <v>1.0</v>
      </c>
      <c r="B29" s="6">
        <v>0.95</v>
      </c>
      <c r="D29" s="3"/>
      <c r="E29" s="3"/>
      <c r="F29" s="3"/>
      <c r="G29" s="3"/>
      <c r="H29" s="3"/>
      <c r="I29" s="3"/>
      <c r="J29" s="3"/>
    </row>
    <row r="30" ht="15.75" customHeight="1">
      <c r="A30" s="65">
        <v>2.0</v>
      </c>
      <c r="B30" s="6">
        <v>1.54</v>
      </c>
      <c r="D30" s="3"/>
      <c r="E30" s="3"/>
      <c r="F30" s="3"/>
      <c r="G30" s="3"/>
      <c r="H30" s="3"/>
      <c r="I30" s="3"/>
      <c r="J30" s="3"/>
    </row>
    <row r="31" ht="15.75" customHeight="1">
      <c r="A31" s="65">
        <v>3.0</v>
      </c>
      <c r="B31" s="6">
        <v>1.07</v>
      </c>
      <c r="D31" s="3"/>
      <c r="E31" s="3"/>
      <c r="F31" s="3"/>
      <c r="G31" s="3"/>
      <c r="H31" s="3"/>
      <c r="I31" s="3"/>
      <c r="J31" s="3"/>
    </row>
    <row r="32" ht="15.75" customHeight="1">
      <c r="A32" s="65">
        <v>4.0</v>
      </c>
      <c r="B32" s="6">
        <v>0.65</v>
      </c>
      <c r="D32" s="3"/>
      <c r="E32" s="3"/>
      <c r="F32" s="3"/>
      <c r="G32" s="3"/>
      <c r="H32" s="3"/>
      <c r="I32" s="3"/>
      <c r="J32" s="3"/>
    </row>
    <row r="33" ht="15.75" customHeight="1">
      <c r="A33" s="65">
        <v>5.0</v>
      </c>
      <c r="B33" s="6">
        <v>0.72</v>
      </c>
      <c r="D33" s="3"/>
      <c r="E33" s="3"/>
      <c r="F33" s="3"/>
      <c r="G33" s="3"/>
      <c r="H33" s="3"/>
      <c r="I33" s="3"/>
      <c r="J33" s="3"/>
    </row>
    <row r="34" ht="15.75" customHeight="1">
      <c r="A34" s="65">
        <v>6.0</v>
      </c>
      <c r="B34" s="6">
        <v>1.28</v>
      </c>
      <c r="D34" s="3"/>
      <c r="E34" s="3"/>
      <c r="F34" s="3"/>
      <c r="G34" s="3"/>
      <c r="H34" s="3"/>
      <c r="I34" s="3"/>
      <c r="J34" s="3"/>
    </row>
    <row r="35" ht="15.75" customHeight="1">
      <c r="A35" s="65">
        <v>7.0</v>
      </c>
      <c r="B35" s="6">
        <v>2.07</v>
      </c>
      <c r="D35" s="3"/>
      <c r="E35" s="3"/>
      <c r="F35" s="3"/>
      <c r="G35" s="3"/>
      <c r="H35" s="3"/>
      <c r="I35" s="3"/>
      <c r="J35" s="3"/>
    </row>
    <row r="36" ht="15.75" customHeight="1">
      <c r="A36" s="65">
        <v>8.0</v>
      </c>
      <c r="B36" s="6">
        <v>4.89</v>
      </c>
      <c r="D36" s="3"/>
      <c r="E36" s="3"/>
      <c r="F36" s="3"/>
      <c r="G36" s="3"/>
      <c r="H36" s="3"/>
      <c r="I36" s="3"/>
      <c r="J36" s="3"/>
    </row>
    <row r="37" ht="15.75" customHeight="1">
      <c r="A37" s="65">
        <v>9.0</v>
      </c>
      <c r="B37" s="6">
        <v>3.26</v>
      </c>
      <c r="D37" s="3"/>
      <c r="E37" s="3"/>
      <c r="F37" s="3"/>
      <c r="G37" s="3"/>
      <c r="H37" s="3"/>
      <c r="I37" s="3"/>
      <c r="J37" s="3"/>
    </row>
    <row r="38" ht="15.75" customHeight="1">
      <c r="A38" s="65">
        <v>10.0</v>
      </c>
      <c r="B38" s="6">
        <v>2.83</v>
      </c>
      <c r="D38" s="3"/>
      <c r="E38" s="3"/>
      <c r="F38" s="3"/>
      <c r="G38" s="3"/>
      <c r="H38" s="3"/>
      <c r="I38" s="3"/>
      <c r="J38" s="3"/>
      <c r="K38" s="3"/>
    </row>
    <row r="39" ht="15.75" customHeight="1">
      <c r="A39" s="65">
        <v>11.0</v>
      </c>
      <c r="B39" s="6">
        <v>1.39</v>
      </c>
      <c r="D39" s="3"/>
      <c r="E39" s="3"/>
      <c r="F39" s="3"/>
      <c r="G39" s="3"/>
      <c r="H39" s="3"/>
      <c r="I39" s="3"/>
      <c r="J39" s="3"/>
      <c r="K39" s="3"/>
    </row>
    <row r="40" ht="15.75" customHeight="1">
      <c r="A40" s="65">
        <v>12.0</v>
      </c>
      <c r="B40" s="6">
        <v>1.22</v>
      </c>
      <c r="D40" s="3"/>
      <c r="E40" s="3"/>
      <c r="F40" s="3"/>
      <c r="G40" s="3"/>
      <c r="H40" s="3"/>
      <c r="I40" s="3"/>
      <c r="J40" s="3"/>
      <c r="K40" s="3"/>
    </row>
    <row r="41" ht="15.75" customHeight="1">
      <c r="A41" s="65">
        <v>13.0</v>
      </c>
      <c r="B41" s="6">
        <v>1.03</v>
      </c>
      <c r="D41" s="3"/>
      <c r="E41" s="3"/>
      <c r="F41" s="3"/>
      <c r="G41" s="3"/>
      <c r="H41" s="3"/>
      <c r="I41" s="3"/>
      <c r="J41" s="3"/>
      <c r="K41" s="3"/>
    </row>
    <row r="42" ht="15.75" customHeight="1">
      <c r="A42" s="65">
        <v>14.0</v>
      </c>
      <c r="B42" s="6">
        <v>1.37</v>
      </c>
      <c r="D42" s="3"/>
      <c r="E42" s="3"/>
      <c r="F42" s="3"/>
      <c r="G42" s="3"/>
      <c r="H42" s="3"/>
      <c r="I42" s="3"/>
      <c r="J42" s="3"/>
      <c r="K42" s="3"/>
    </row>
    <row r="43" ht="15.75" customHeight="1">
      <c r="A43" s="65">
        <v>15.0</v>
      </c>
      <c r="B43" s="6">
        <v>0.87</v>
      </c>
      <c r="D43" s="3"/>
      <c r="E43" s="3"/>
      <c r="F43" s="3"/>
      <c r="G43" s="3"/>
      <c r="H43" s="3"/>
      <c r="I43" s="3"/>
      <c r="J43" s="3"/>
      <c r="K43" s="3"/>
    </row>
    <row r="44" ht="15.75" customHeight="1">
      <c r="A44" s="65">
        <v>16.0</v>
      </c>
      <c r="B44" s="6">
        <v>1.36</v>
      </c>
      <c r="D44" s="3"/>
      <c r="E44" s="3"/>
      <c r="F44" s="3"/>
      <c r="G44" s="3"/>
      <c r="H44" s="3"/>
      <c r="I44" s="3"/>
      <c r="J44" s="3"/>
      <c r="K44" s="3"/>
    </row>
    <row r="45" ht="15.75" customHeight="1">
      <c r="A45" s="65">
        <v>17.0</v>
      </c>
      <c r="B45" s="6">
        <v>1.4</v>
      </c>
      <c r="D45" s="3"/>
      <c r="E45" s="3"/>
      <c r="F45" s="3"/>
      <c r="G45" s="3"/>
      <c r="H45" s="3"/>
      <c r="I45" s="3"/>
      <c r="J45" s="3"/>
      <c r="K45" s="3"/>
    </row>
    <row r="46" ht="15.75" customHeight="1">
      <c r="A46" s="65">
        <v>18.0</v>
      </c>
      <c r="B46" s="6">
        <v>1.8</v>
      </c>
      <c r="D46" s="3"/>
      <c r="E46" s="3"/>
      <c r="F46" s="3"/>
      <c r="G46" s="3"/>
      <c r="H46" s="3"/>
      <c r="I46" s="3"/>
      <c r="J46" s="3"/>
      <c r="K46" s="3"/>
    </row>
    <row r="47" ht="15.75" customHeight="1">
      <c r="A47" s="65">
        <v>19.0</v>
      </c>
      <c r="B47" s="6">
        <v>2.29</v>
      </c>
      <c r="D47" s="3"/>
      <c r="E47" s="3"/>
      <c r="F47" s="3"/>
      <c r="G47" s="3"/>
      <c r="H47" s="3"/>
      <c r="I47" s="3"/>
      <c r="J47" s="3"/>
      <c r="K47" s="3"/>
    </row>
    <row r="48" ht="15.75" customHeight="1">
      <c r="A48" s="65">
        <v>20.0</v>
      </c>
      <c r="B48" s="6">
        <v>1.79</v>
      </c>
      <c r="D48" s="3"/>
      <c r="E48" s="3"/>
      <c r="F48" s="3"/>
      <c r="G48" s="3"/>
      <c r="H48" s="3"/>
      <c r="I48" s="3"/>
      <c r="J48" s="3"/>
      <c r="K48" s="3"/>
    </row>
    <row r="49" ht="15.75" customHeight="1">
      <c r="A49" s="65">
        <v>21.0</v>
      </c>
      <c r="B49" s="6">
        <v>1.27</v>
      </c>
      <c r="D49" s="3"/>
      <c r="E49" s="3"/>
      <c r="F49" s="3"/>
      <c r="G49" s="3"/>
      <c r="H49" s="3"/>
      <c r="I49" s="3"/>
      <c r="J49" s="3"/>
      <c r="K49" s="3"/>
    </row>
    <row r="50" ht="15.75" customHeight="1">
      <c r="A50" s="65">
        <v>22.0</v>
      </c>
      <c r="B50" s="6">
        <v>1.02</v>
      </c>
      <c r="D50" s="3"/>
      <c r="E50" s="3"/>
      <c r="F50" s="3"/>
      <c r="G50" s="3"/>
      <c r="H50" s="3"/>
      <c r="I50" s="3"/>
      <c r="J50" s="3"/>
      <c r="K50" s="3"/>
    </row>
    <row r="51" ht="15.75" customHeight="1">
      <c r="A51" s="65">
        <v>23.0</v>
      </c>
      <c r="B51" s="6">
        <v>2.45</v>
      </c>
      <c r="D51" s="3"/>
      <c r="E51" s="3"/>
      <c r="F51" s="3"/>
      <c r="G51" s="3"/>
      <c r="H51" s="3"/>
      <c r="I51" s="3"/>
      <c r="J51" s="3"/>
      <c r="K51" s="3"/>
    </row>
    <row r="52" ht="15.75" customHeight="1">
      <c r="A52" s="65">
        <v>24.0</v>
      </c>
      <c r="B52" s="6">
        <v>1.86</v>
      </c>
      <c r="D52" s="3"/>
      <c r="E52" s="3"/>
      <c r="F52" s="3"/>
      <c r="G52" s="3"/>
      <c r="H52" s="3"/>
      <c r="I52" s="3"/>
      <c r="J52" s="3"/>
      <c r="K52" s="3"/>
    </row>
    <row r="53" ht="15.75" customHeight="1">
      <c r="A53" s="65">
        <v>25.0</v>
      </c>
      <c r="B53" s="6">
        <v>0.99</v>
      </c>
      <c r="D53" s="3"/>
      <c r="E53" s="3"/>
      <c r="F53" s="3"/>
      <c r="G53" s="3"/>
      <c r="H53" s="3"/>
      <c r="I53" s="3"/>
      <c r="J53" s="3"/>
      <c r="K53" s="3"/>
    </row>
    <row r="54" ht="15.75" customHeight="1">
      <c r="A54" s="65">
        <v>26.0</v>
      </c>
      <c r="B54" s="6">
        <v>2.25</v>
      </c>
      <c r="D54" s="3"/>
      <c r="E54" s="3"/>
      <c r="F54" s="3"/>
      <c r="G54" s="3"/>
      <c r="H54" s="3"/>
      <c r="I54" s="3"/>
      <c r="J54" s="3"/>
      <c r="K54" s="3"/>
    </row>
    <row r="55" ht="15.75" customHeight="1">
      <c r="A55" s="65">
        <v>27.0</v>
      </c>
      <c r="B55" s="6">
        <v>0.76</v>
      </c>
      <c r="D55" s="3"/>
      <c r="E55" s="3"/>
      <c r="F55" s="3"/>
      <c r="G55" s="3"/>
      <c r="H55" s="3"/>
      <c r="I55" s="3"/>
      <c r="J55" s="3"/>
      <c r="K55" s="3"/>
    </row>
    <row r="56" ht="15.75" customHeight="1">
      <c r="A56" s="65">
        <v>28.0</v>
      </c>
      <c r="B56" s="6">
        <v>2.45</v>
      </c>
      <c r="D56" s="3"/>
      <c r="E56" s="3"/>
      <c r="F56" s="3"/>
      <c r="G56" s="3"/>
      <c r="H56" s="3"/>
      <c r="I56" s="3"/>
      <c r="J56" s="3"/>
      <c r="K56" s="3"/>
    </row>
    <row r="57" ht="15.75" customHeight="1">
      <c r="A57" s="65">
        <v>29.0</v>
      </c>
      <c r="B57" s="6">
        <v>2.14</v>
      </c>
      <c r="D57" s="3"/>
      <c r="E57" s="3"/>
      <c r="F57" s="3"/>
      <c r="G57" s="3"/>
      <c r="H57" s="3"/>
      <c r="I57" s="3"/>
      <c r="J57" s="3"/>
      <c r="K57" s="3"/>
    </row>
    <row r="58" ht="15.75" customHeight="1">
      <c r="A58" s="66">
        <v>30.0</v>
      </c>
      <c r="B58" s="10">
        <v>0.59</v>
      </c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27:B27"/>
  </mergeCell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